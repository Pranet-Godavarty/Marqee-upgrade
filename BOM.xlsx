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enub\Downloads\"/>
    </mc:Choice>
  </mc:AlternateContent>
  <xr:revisionPtr revIDLastSave="0" documentId="13_ncr:1_{E6192B89-57AA-485A-A9C2-12A144F6DB02}" xr6:coauthVersionLast="47" xr6:coauthVersionMax="47" xr10:uidLastSave="{00000000-0000-0000-0000-000000000000}"/>
  <bookViews>
    <workbookView xWindow="2240" yWindow="2240" windowWidth="19200" windowHeight="9970" xr2:uid="{00000000-000D-0000-FFFF-FFFF00000000}"/>
  </bookViews>
  <sheets>
    <sheet name="BOM_Board1_PCB1_2026-10-03" sheetId="1" r:id="rId1"/>
  </sheets>
  <definedNames>
    <definedName name="_xlnm._FilterDatabase" localSheetId="0" hidden="1">'BOM_Board1_PCB1_2026-10-03'!$A$1:$M$22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L22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<sst xmlns="http://schemas.openxmlformats.org/spreadsheetml/2006/main" count="202" uniqueCount="156">
  <si>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</si>
  <si>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</si>
  <si>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</si>
  <si>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</si>
  <si>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</si>
  <si>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</si>
  <si>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</si>
  <si>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</si>
  <si>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</si>
  <si>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</si>
  <si>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Unit Price (USD)</t>
  </si>
  <si>
    <t>Line Total (USD)</t>
  </si>
  <si>
    <t>Purchase Link</t>
  </si>
  <si>
    <t>1</t>
  </si>
  <si>
    <t>MY-2032-12</t>
  </si>
  <si>
    <t>BT1</t>
  </si>
  <si>
    <t>BAT-SMD_MY-2032-12</t>
  </si>
  <si>
    <t>MYOUNG(美阳)</t>
  </si>
  <si>
    <t>C964833</t>
  </si>
  <si>
    <t>LCSC</t>
  </si>
  <si>
    <t>https://www.lcsc.com/product-detail/Battery-Connectors_MYOUNG-MY-2032-12_C964833.html</t>
  </si>
  <si>
    <t>2</t>
  </si>
  <si>
    <t>1000uF</t>
  </si>
  <si>
    <t>C1,C2</t>
  </si>
  <si>
    <t>CAP-SMD_BD10.0-L10.3-W10.3-FD</t>
  </si>
  <si>
    <t>RVT1C102M1010 1000UF 16V</t>
  </si>
  <si>
    <t>DMBJ(振宝佳)</t>
  </si>
  <si>
    <t>C970714</t>
  </si>
  <si>
    <t>https://lcsc.com/product-detail/Aluminum-Electrolytic-Capacitors-SMD_DMBJ_C970714.html</t>
  </si>
  <si>
    <t>3</t>
  </si>
  <si>
    <t>10uF</t>
  </si>
  <si>
    <t>C18,C19</t>
  </si>
  <si>
    <t>C0805</t>
  </si>
  <si>
    <t>CL21A106KAYNNNE</t>
  </si>
  <si>
    <t>SAMSUNG(三星)</t>
  </si>
  <si>
    <t>C15850</t>
  </si>
  <si>
    <t>https://www.lcsc.com/product-detail/Multilayer-Ceramic-Capacitors-MLCC-SMD-SMT_Samsung-Electro-Mechanics-CL21A106KAYNNNE_C15850.html</t>
  </si>
  <si>
    <t>4</t>
  </si>
  <si>
    <t>100nF</t>
  </si>
  <si>
    <t>C20,C21,C22,C23</t>
  </si>
  <si>
    <t>C0402</t>
  </si>
  <si>
    <t>CL05B104KO5NNNC</t>
  </si>
  <si>
    <t>C1525</t>
  </si>
  <si>
    <t>https://www.lcsc.com/product-detail/Multilayer-Ceramic-Capacitors-MLCC-SMD-SMT_Samsung-Electro-Mechanics-CL05B104KO5NNNC_C1525.html</t>
  </si>
  <si>
    <t>5</t>
  </si>
  <si>
    <t>B5819W SL</t>
  </si>
  <si>
    <t>D1,D4</t>
  </si>
  <si>
    <t>SOD-123_L2.7-W1.6-LS3.7-RD-1</t>
  </si>
  <si>
    <t>CJ(江苏长电/长晶)</t>
  </si>
  <si>
    <t>C8598</t>
  </si>
  <si>
    <t>https://www.lcsc.com/product-detail/Diodes-General-Purpose-Schottky_B5819W-SL_C8598.html</t>
  </si>
  <si>
    <t>6</t>
  </si>
  <si>
    <t>KT-0603R</t>
  </si>
  <si>
    <t>D3</t>
  </si>
  <si>
    <t>LED-SMD_L1.6-W0.8-R-RD</t>
  </si>
  <si>
    <t>KENTO</t>
  </si>
  <si>
    <t>C2286</t>
  </si>
  <si>
    <t>https://www.lcsc.com/product-detail/LED-Indication-Discrete_KENTO-KT-0603R_C2286.html</t>
  </si>
  <si>
    <t>7</t>
  </si>
  <si>
    <t>3557-2</t>
  </si>
  <si>
    <t>F1,F2,F3,F4,F5,F6,F7,F8</t>
  </si>
  <si>
    <t>FUSE-TH_4P-L19.8-W6.7_3557-2</t>
  </si>
  <si>
    <t>Keystone</t>
  </si>
  <si>
    <t>C352820</t>
  </si>
  <si>
    <t>https://www.lcsc.com/product-detail/Fuseholders_Keystone-3557-2_C352820.html</t>
  </si>
  <si>
    <t>8</t>
  </si>
  <si>
    <t>KF301-5.0-3P</t>
  </si>
  <si>
    <t>J4,J5,J6,J7,J8,J9,J10,J11</t>
  </si>
  <si>
    <t>CONN-TH_3P-P5.00_KF301-5.0-3P</t>
  </si>
  <si>
    <t>KEFA(科发)</t>
  </si>
  <si>
    <t>C474882</t>
  </si>
  <si>
    <t>https://www.lcsc.com/product-detail/Screw-terminal_Cixi-Kefa-Elec_C474882.html</t>
  </si>
  <si>
    <t>9</t>
  </si>
  <si>
    <t>PZ254V-11-03P</t>
  </si>
  <si>
    <t>J12</t>
  </si>
  <si>
    <t>HDR-TH_3P-P2.54-V-M</t>
  </si>
  <si>
    <t>XFCN(兴飞)</t>
  </si>
  <si>
    <t>C492402</t>
  </si>
  <si>
    <t>https://jlcpcb.com/partdetail/Xfcn-PZ254V_1103P/C2937625</t>
  </si>
  <si>
    <t>10</t>
  </si>
  <si>
    <t>PZ254V-11-04P</t>
  </si>
  <si>
    <t>J13</t>
  </si>
  <si>
    <t>HDR-TH_4P-P2.54-V-M</t>
  </si>
  <si>
    <t>C2691448</t>
  </si>
  <si>
    <t>https://www.lcsc.com/product-image/C2691448.html</t>
  </si>
  <si>
    <t>11</t>
  </si>
  <si>
    <t>PSMN1R0-30YLDX</t>
  </si>
  <si>
    <t>Q1,Q2</t>
  </si>
  <si>
    <t>LFPAK56-4_L4.9-W4.2-P1.27-LS6.2-BL</t>
  </si>
  <si>
    <t>Nexperia(安世)</t>
  </si>
  <si>
    <t>C478145</t>
  </si>
  <si>
    <t>https://lcsc.com/product-detail/MOSFET_Nexperia-PSMN1R0-30YLDX_C478145.html</t>
  </si>
  <si>
    <t>12</t>
  </si>
  <si>
    <t>10kΩ</t>
  </si>
  <si>
    <t>R7,R19,R20</t>
  </si>
  <si>
    <t>R0402</t>
  </si>
  <si>
    <t>0402WGF1002TCE</t>
  </si>
  <si>
    <t>UNI-ROYAL(厚声)</t>
  </si>
  <si>
    <t>C25744</t>
  </si>
  <si>
    <t>https://lcsc.com/product-detail/C25744.html</t>
  </si>
  <si>
    <t>13</t>
  </si>
  <si>
    <t>4.7kΩ</t>
  </si>
  <si>
    <t>R8,R9</t>
  </si>
  <si>
    <t>0402WGF4701TCE</t>
  </si>
  <si>
    <t>C25900</t>
  </si>
  <si>
    <t>https://www.lcsc.com/product-image/C25900.html</t>
  </si>
  <si>
    <t>14</t>
  </si>
  <si>
    <t>1kΩ</t>
  </si>
  <si>
    <t>R10</t>
  </si>
  <si>
    <t>0402WGF1001TCE</t>
  </si>
  <si>
    <t>C11702</t>
  </si>
  <si>
    <t>https://www.lcsc.com/product-image/C11702.html</t>
  </si>
  <si>
    <t>15</t>
  </si>
  <si>
    <t>33Ω</t>
  </si>
  <si>
    <t>R11,R12,R13,R14,R15,R16,R17,R18</t>
  </si>
  <si>
    <t>0402WGF330JTCE</t>
  </si>
  <si>
    <t>C25105</t>
  </si>
  <si>
    <t>https://www.lcsc.com/product-detail/C25105.html</t>
  </si>
  <si>
    <t>16</t>
  </si>
  <si>
    <t>TS-1187A-B-A-B</t>
  </si>
  <si>
    <t>SW2</t>
  </si>
  <si>
    <t>SW-SMD_4P-L5.1-W5.1-P3.70-LS6.5-TL_H1.5</t>
  </si>
  <si>
    <t>XKB Connection(中国星坤)</t>
  </si>
  <si>
    <t>C318884</t>
  </si>
  <si>
    <t>https://lcsc.com/product-detail/Tactile-Switches_XKB-Connectivity-TS-1187A-B-A-B_C318884.html</t>
  </si>
  <si>
    <t>17</t>
  </si>
  <si>
    <t>Raspberry Pi Pico 2</t>
  </si>
  <si>
    <t>U1</t>
  </si>
  <si>
    <t>COMM-SMD_L51.0-W21.0-P2.54_SC0916</t>
  </si>
  <si>
    <t>Raspberry Pi(树莓派)</t>
  </si>
  <si>
    <t>C41407547</t>
  </si>
  <si>
    <t>https://www.lcsc.com/product-detail/C41407547.html</t>
  </si>
  <si>
    <t>18</t>
  </si>
  <si>
    <t>SN74AHCT245PWR</t>
  </si>
  <si>
    <t>U4,U6</t>
  </si>
  <si>
    <t>TSSOP-20_L6.5-W4.4-P0.65-LS6.4-BL</t>
  </si>
  <si>
    <t>TI(德州仪器)</t>
  </si>
  <si>
    <t>C10910</t>
  </si>
  <si>
    <t>https://lcsc.com/product-detail/Buffers-Drivers-Receivers-Transceivers_Texas-Instruments-SN74AHCT245PWR_C10910.html</t>
  </si>
  <si>
    <t>19</t>
  </si>
  <si>
    <t>DS3231SN#T&amp;R</t>
  </si>
  <si>
    <t>U5</t>
  </si>
  <si>
    <t>SOIC-16_L10.3-W7.5-P1.27-LS10.3-BL</t>
  </si>
  <si>
    <t>ADI(亚德诺)/MAXIM(美信)</t>
  </si>
  <si>
    <t>C9866</t>
  </si>
  <si>
    <t>https://lcsc.com/product-detail/Real-time-Clocks_Analog-Devices-Maxim-Integrated-DS3231SN-T-R_C9866.html</t>
  </si>
  <si>
    <t>21</t>
  </si>
  <si>
    <t>5 A tan MINI blade fuse</t>
  </si>
  <si>
    <t>F1-F8 (actual fuses)</t>
  </si>
  <si>
    <t>MINI blade</t>
  </si>
  <si>
    <t>5 A / 32 V</t>
  </si>
  <si>
    <t>0MIN005.V</t>
  </si>
  <si>
    <t>Littelfuse</t>
  </si>
  <si>
    <t>Advance Auto Parts</t>
  </si>
  <si>
    <t>https://shop.advanceautoparts.com/p/littelfuse-fuse-mini-blade-32-volt-5-amp-tan-1-fuse-sold-by-each-0min005v/11510126-P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</si>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</sst>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00"/>
    <numFmt numFmtId="165" formatCode="\$0.00"/>
  </numFmts>
  <fonts count="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165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Screw-terminal_Cixi-Kefa-Elec_C474882.html" TargetMode="External"/><Relationship Id="rId13" Type="http://schemas.openxmlformats.org/officeDocument/2006/relationships/hyperlink" Target="https://www.lcsc.com/product-image/C25900.html" TargetMode="External"/><Relationship Id="rId18" Type="http://schemas.openxmlformats.org/officeDocument/2006/relationships/hyperlink" Target="https://lcsc.com/product-detail/Buffers-Drivers-Receivers-Transceivers_Texas-Instruments-SN74AHCT245PWR_C10910.html" TargetMode="External"/><Relationship Id="rId3" Type="http://schemas.openxmlformats.org/officeDocument/2006/relationships/hyperlink" Target="https://www.lcsc.com/product-detail/Multilayer-Ceramic-Capacitors-MLCC-SMD-SMT_Samsung-Electro-Mechanics-CL21A106KAYNNNE_C15850.html" TargetMode="External"/><Relationship Id="rId7" Type="http://schemas.openxmlformats.org/officeDocument/2006/relationships/hyperlink" Target="https://www.lcsc.com/product-detail/Fuseholders_Keystone-3557-2_C352820.html" TargetMode="External"/><Relationship Id="rId12" Type="http://schemas.openxmlformats.org/officeDocument/2006/relationships/hyperlink" Target="https://lcsc.com/product-detail/C25744.html" TargetMode="External"/><Relationship Id="rId17" Type="http://schemas.openxmlformats.org/officeDocument/2006/relationships/hyperlink" Target="https://www.lcsc.com/product-detail/C41407547.html" TargetMode="External"/><Relationship Id="rId2" Type="http://schemas.openxmlformats.org/officeDocument/2006/relationships/hyperlink" Target="https://lcsc.com/product-detail/Aluminum-Electrolytic-Capacitors-SMD_DMBJ_C970714.html" TargetMode="External"/><Relationship Id="rId16" Type="http://schemas.openxmlformats.org/officeDocument/2006/relationships/hyperlink" Target="https://lcsc.com/product-detail/Tactile-Switches_XKB-Connectivity-TS-1187A-B-A-B_C318884.html" TargetMode="External"/><Relationship Id="rId1" Type="http://schemas.openxmlformats.org/officeDocument/2006/relationships/hyperlink" Target="https://www.lcsc.com/product-detail/Battery-Connectors_MYOUNG-MY-2032-12_C964833.html" TargetMode="External"/><Relationship Id="rId6" Type="http://schemas.openxmlformats.org/officeDocument/2006/relationships/hyperlink" Target="https://www.lcsc.com/product-detail/LED-Indication-Discrete_KENTO-KT-0603R_C2286.html" TargetMode="External"/><Relationship Id="rId11" Type="http://schemas.openxmlformats.org/officeDocument/2006/relationships/hyperlink" Target="https://lcsc.com/product-detail/MOSFET_Nexperia-PSMN1R0-30YLDX_C478145.html" TargetMode="External"/><Relationship Id="rId5" Type="http://schemas.openxmlformats.org/officeDocument/2006/relationships/hyperlink" Target="https://www.lcsc.com/product-detail/Diodes-General-Purpose-Schottky_B5819W-SL_C8598.html" TargetMode="External"/><Relationship Id="rId15" Type="http://schemas.openxmlformats.org/officeDocument/2006/relationships/hyperlink" Target="https://www.lcsc.com/product-detail/C25105.html" TargetMode="External"/><Relationship Id="rId10" Type="http://schemas.openxmlformats.org/officeDocument/2006/relationships/hyperlink" Target="https://www.lcsc.com/product-image/C2691448.html" TargetMode="External"/><Relationship Id="rId19" Type="http://schemas.openxmlformats.org/officeDocument/2006/relationships/hyperlink" Target="https://lcsc.com/product-detail/Real-time-Clocks_Analog-Devices-Maxim-Integrated-DS3231SN-T-R_C9866.html" TargetMode="External"/><Relationship Id="rId4" Type="http://schemas.openxmlformats.org/officeDocument/2006/relationships/hyperlink" Target="https://www.lcsc.com/product-detail/Multilayer-Ceramic-Capacitors-MLCC-SMD-SMT_Samsung-Electro-Mechanics-CL05B104KO5NNNC_C1525.html" TargetMode="External"/><Relationship Id="rId9" Type="http://schemas.openxmlformats.org/officeDocument/2006/relationships/hyperlink" Target="https://jlcpcb.com/partdetail/Xfcn-PZ254V_1103P/C2937625" TargetMode="External"/><Relationship Id="rId14" Type="http://schemas.openxmlformats.org/officeDocument/2006/relationships/hyperlink" Target="https://www.lcsc.com/product-image/C117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G1" workbookViewId="0">
      <pane ySplit="1" topLeftCell="A20" activePane="bottomLeft" state="frozen"/>
      <selection pane="bottomLeft" activeCell="M24" sqref="M24"/>
    </sheetView>
  </sheetViews>
  <sheetFormatPr defaultRowHeight="14.5" x14ac:dyDescent="0.35"/>
  <cols>
    <col min="1" max="1" width="7" customWidth="1"/>
    <col min="2" max="2" width="10" customWidth="1"/>
    <col min="3" max="3" width="24" customWidth="1"/>
    <col min="4" max="4" width="30" customWidth="1"/>
    <col min="5" max="5" width="42" customWidth="1"/>
    <col min="6" max="6" width="18" customWidth="1"/>
    <col min="7" max="7" width="32" customWidth="1"/>
    <col min="8" max="8" width="25" customWidth="1"/>
    <col min="9" max="11" width="16" customWidth="1"/>
    <col min="12" max="12" width="18" customWidth="1"/>
    <col min="13" max="13" width="80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1" x14ac:dyDescent="0.35">
      <c r="A2" t="s">
        <v>13</v>
      </c>
      <c r="B2">
        <v>1</v>
      </c>
      <c r="C2" t="s">
        <v>14</v>
      </c>
      <c r="D2" t="s">
        <v>15</v>
      </c>
      <c r="E2" t="s">
        <v>16</v>
      </c>
      <c r="G2" t="s">
        <v>14</v>
      </c>
      <c r="H2" t="s">
        <v>17</v>
      </c>
      <c r="I2" t="s">
        <v>18</v>
      </c>
      <c r="J2" t="s">
        <v>19</v>
      </c>
      <c r="K2" s="2">
        <v>9.4E-2</v>
      </c>
      <c r="L2" s="3">
        <f t="shared" ref="L2:L20" si="0">B2*K2</f>
        <v>9.4E-2</v>
      </c>
      <c r="M2" s="4" t="s">
        <v>20</v>
      </c>
    </row>
    <row r="3" spans="1:13" ht="31" x14ac:dyDescent="0.35">
      <c r="A3" t="s">
        <v>21</v>
      </c>
      <c r="B3">
        <v>2</v>
      </c>
      <c r="C3" t="s">
        <v>22</v>
      </c>
      <c r="D3" t="s">
        <v>23</v>
      </c>
      <c r="E3" t="s">
        <v>24</v>
      </c>
      <c r="F3" t="s">
        <v>22</v>
      </c>
      <c r="G3" t="s">
        <v>25</v>
      </c>
      <c r="H3" t="s">
        <v>26</v>
      </c>
      <c r="I3" t="s">
        <v>27</v>
      </c>
      <c r="J3" t="s">
        <v>19</v>
      </c>
      <c r="K3" s="2">
        <v>0.13300000000000001</v>
      </c>
      <c r="L3" s="3">
        <f t="shared" si="0"/>
        <v>0.26600000000000001</v>
      </c>
      <c r="M3" s="4" t="s">
        <v>28</v>
      </c>
    </row>
    <row r="4" spans="1:13" ht="31" x14ac:dyDescent="0.35">
      <c r="A4" t="s">
        <v>29</v>
      </c>
      <c r="B4">
        <v>2</v>
      </c>
      <c r="C4" t="s">
        <v>30</v>
      </c>
      <c r="D4" t="s">
        <v>31</v>
      </c>
      <c r="E4" t="s">
        <v>32</v>
      </c>
      <c r="F4" t="s">
        <v>30</v>
      </c>
      <c r="G4" t="s">
        <v>33</v>
      </c>
      <c r="H4" t="s">
        <v>34</v>
      </c>
      <c r="I4" t="s">
        <v>35</v>
      </c>
      <c r="J4" t="s">
        <v>19</v>
      </c>
      <c r="K4" s="2">
        <v>8.5000000000000006E-2</v>
      </c>
      <c r="L4" s="3">
        <f t="shared" si="0"/>
        <v>0.17</v>
      </c>
      <c r="M4" s="4" t="s">
        <v>36</v>
      </c>
    </row>
    <row r="5" spans="1:13" ht="31" x14ac:dyDescent="0.35">
      <c r="A5" t="s">
        <v>37</v>
      </c>
      <c r="B5">
        <v>4</v>
      </c>
      <c r="C5" t="s">
        <v>38</v>
      </c>
      <c r="D5" t="s">
        <v>39</v>
      </c>
      <c r="E5" t="s">
        <v>40</v>
      </c>
      <c r="F5" t="s">
        <v>38</v>
      </c>
      <c r="G5" t="s">
        <v>41</v>
      </c>
      <c r="H5" t="s">
        <v>34</v>
      </c>
      <c r="I5" t="s">
        <v>42</v>
      </c>
      <c r="J5" t="s">
        <v>19</v>
      </c>
      <c r="K5" s="2">
        <v>4.4999999999999997E-3</v>
      </c>
      <c r="L5" s="3">
        <f t="shared" si="0"/>
        <v>1.7999999999999999E-2</v>
      </c>
      <c r="M5" s="4" t="s">
        <v>43</v>
      </c>
    </row>
    <row r="6" spans="1:13" ht="31" x14ac:dyDescent="0.35">
      <c r="A6" t="s">
        <v>44</v>
      </c>
      <c r="B6">
        <v>2</v>
      </c>
      <c r="C6" t="s">
        <v>45</v>
      </c>
      <c r="D6" t="s">
        <v>46</v>
      </c>
      <c r="E6" t="s">
        <v>47</v>
      </c>
      <c r="G6" t="s">
        <v>45</v>
      </c>
      <c r="H6" t="s">
        <v>48</v>
      </c>
      <c r="I6" t="s">
        <v>49</v>
      </c>
      <c r="J6" t="s">
        <v>19</v>
      </c>
      <c r="K6" s="2">
        <v>2.1999999999999999E-2</v>
      </c>
      <c r="L6" s="3">
        <f t="shared" si="0"/>
        <v>4.3999999999999997E-2</v>
      </c>
      <c r="M6" s="4" t="s">
        <v>50</v>
      </c>
    </row>
    <row r="7" spans="1:13" ht="31" x14ac:dyDescent="0.35">
      <c r="A7" t="s">
        <v>51</v>
      </c>
      <c r="B7">
        <v>1</v>
      </c>
      <c r="C7" t="s">
        <v>52</v>
      </c>
      <c r="D7" t="s">
        <v>53</v>
      </c>
      <c r="E7" t="s">
        <v>54</v>
      </c>
      <c r="G7" t="s">
        <v>52</v>
      </c>
      <c r="H7" t="s">
        <v>55</v>
      </c>
      <c r="I7" t="s">
        <v>56</v>
      </c>
      <c r="J7" t="s">
        <v>19</v>
      </c>
      <c r="K7" s="2">
        <v>8.0000000000000002E-3</v>
      </c>
      <c r="L7" s="3">
        <f t="shared" si="0"/>
        <v>8.0000000000000002E-3</v>
      </c>
      <c r="M7" s="4" t="s">
        <v>57</v>
      </c>
    </row>
    <row r="8" spans="1:13" ht="15.5" x14ac:dyDescent="0.35">
      <c r="A8" t="s">
        <v>58</v>
      </c>
      <c r="B8">
        <v>8</v>
      </c>
      <c r="C8" t="s">
        <v>59</v>
      </c>
      <c r="D8" t="s">
        <v>60</v>
      </c>
      <c r="E8" t="s">
        <v>61</v>
      </c>
      <c r="G8" t="s">
        <v>59</v>
      </c>
      <c r="H8" t="s">
        <v>62</v>
      </c>
      <c r="I8" t="s">
        <v>63</v>
      </c>
      <c r="J8" t="s">
        <v>19</v>
      </c>
      <c r="K8" s="2">
        <v>1.46</v>
      </c>
      <c r="L8" s="3">
        <f t="shared" si="0"/>
        <v>11.68</v>
      </c>
      <c r="M8" s="4" t="s">
        <v>64</v>
      </c>
    </row>
    <row r="9" spans="1:13" ht="15.5" x14ac:dyDescent="0.35">
      <c r="A9" t="s">
        <v>65</v>
      </c>
      <c r="B9">
        <v>8</v>
      </c>
      <c r="C9" t="s">
        <v>66</v>
      </c>
      <c r="D9" t="s">
        <v>67</v>
      </c>
      <c r="E9" t="s">
        <v>68</v>
      </c>
      <c r="G9" t="s">
        <v>66</v>
      </c>
      <c r="H9" t="s">
        <v>69</v>
      </c>
      <c r="I9" t="s">
        <v>70</v>
      </c>
      <c r="J9" t="s">
        <v>19</v>
      </c>
      <c r="K9" s="2">
        <v>0.14000000000000001</v>
      </c>
      <c r="L9" s="3">
        <f t="shared" si="0"/>
        <v>1.1200000000000001</v>
      </c>
      <c r="M9" s="4" t="s">
        <v>71</v>
      </c>
    </row>
    <row r="10" spans="1:13" ht="15.5" x14ac:dyDescent="0.35">
      <c r="A10" t="s">
        <v>72</v>
      </c>
      <c r="B10">
        <v>1</v>
      </c>
      <c r="C10" t="s">
        <v>73</v>
      </c>
      <c r="D10" t="s">
        <v>74</v>
      </c>
      <c r="E10" t="s">
        <v>75</v>
      </c>
      <c r="G10" t="s">
        <v>73</v>
      </c>
      <c r="H10" t="s">
        <v>76</v>
      </c>
      <c r="I10" t="s">
        <v>77</v>
      </c>
      <c r="J10" t="s">
        <v>19</v>
      </c>
      <c r="K10" s="2">
        <v>0.02</v>
      </c>
      <c r="L10" s="3">
        <f t="shared" si="0"/>
        <v>0.02</v>
      </c>
      <c r="M10" s="4" t="s">
        <v>78</v>
      </c>
    </row>
    <row r="11" spans="1:13" ht="15.5" x14ac:dyDescent="0.35">
      <c r="A11" t="s">
        <v>79</v>
      </c>
      <c r="B11">
        <v>1</v>
      </c>
      <c r="C11" t="s">
        <v>80</v>
      </c>
      <c r="D11" t="s">
        <v>81</v>
      </c>
      <c r="E11" t="s">
        <v>82</v>
      </c>
      <c r="G11" t="s">
        <v>80</v>
      </c>
      <c r="H11" t="s">
        <v>76</v>
      </c>
      <c r="I11" t="s">
        <v>83</v>
      </c>
      <c r="J11" t="s">
        <v>19</v>
      </c>
      <c r="K11" s="2">
        <v>2.8000000000000001E-2</v>
      </c>
      <c r="L11" s="3">
        <f t="shared" si="0"/>
        <v>2.8000000000000001E-2</v>
      </c>
      <c r="M11" s="4" t="s">
        <v>84</v>
      </c>
    </row>
    <row r="12" spans="1:13" ht="15.5" x14ac:dyDescent="0.35">
      <c r="A12" t="s">
        <v>85</v>
      </c>
      <c r="B12">
        <v>2</v>
      </c>
      <c r="C12" t="s">
        <v>86</v>
      </c>
      <c r="D12" t="s">
        <v>87</v>
      </c>
      <c r="E12" t="s">
        <v>88</v>
      </c>
      <c r="G12" t="s">
        <v>86</v>
      </c>
      <c r="H12" t="s">
        <v>89</v>
      </c>
      <c r="I12" t="s">
        <v>90</v>
      </c>
      <c r="J12" t="s">
        <v>19</v>
      </c>
      <c r="K12" s="2">
        <v>1.8779999999999999</v>
      </c>
      <c r="L12" s="3">
        <f t="shared" si="0"/>
        <v>3.7559999999999998</v>
      </c>
      <c r="M12" s="4" t="s">
        <v>91</v>
      </c>
    </row>
    <row r="13" spans="1:13" ht="15.5" x14ac:dyDescent="0.35">
      <c r="A13" t="s">
        <v>92</v>
      </c>
      <c r="B13">
        <v>3</v>
      </c>
      <c r="C13" t="s">
        <v>93</v>
      </c>
      <c r="D13" t="s">
        <v>94</v>
      </c>
      <c r="E13" t="s">
        <v>95</v>
      </c>
      <c r="F13" t="s">
        <v>93</v>
      </c>
      <c r="G13" t="s">
        <v>96</v>
      </c>
      <c r="H13" t="s">
        <v>97</v>
      </c>
      <c r="I13" t="s">
        <v>98</v>
      </c>
      <c r="J13" t="s">
        <v>19</v>
      </c>
      <c r="K13" s="2">
        <v>5.9999999999999995E-4</v>
      </c>
      <c r="L13" s="3">
        <f t="shared" si="0"/>
        <v>1.8E-3</v>
      </c>
      <c r="M13" s="4" t="s">
        <v>99</v>
      </c>
    </row>
    <row r="14" spans="1:13" ht="15.5" x14ac:dyDescent="0.35">
      <c r="A14" t="s">
        <v>100</v>
      </c>
      <c r="B14">
        <v>2</v>
      </c>
      <c r="C14" t="s">
        <v>101</v>
      </c>
      <c r="D14" t="s">
        <v>102</v>
      </c>
      <c r="E14" t="s">
        <v>95</v>
      </c>
      <c r="F14" t="s">
        <v>101</v>
      </c>
      <c r="G14" t="s">
        <v>103</v>
      </c>
      <c r="H14" t="s">
        <v>97</v>
      </c>
      <c r="I14" t="s">
        <v>104</v>
      </c>
      <c r="J14" t="s">
        <v>19</v>
      </c>
      <c r="K14" s="2">
        <v>2.8999999999999998E-3</v>
      </c>
      <c r="L14" s="3">
        <f t="shared" si="0"/>
        <v>5.7999999999999996E-3</v>
      </c>
      <c r="M14" s="4" t="s">
        <v>105</v>
      </c>
    </row>
    <row r="15" spans="1:13" ht="15.5" x14ac:dyDescent="0.35">
      <c r="A15" t="s">
        <v>106</v>
      </c>
      <c r="B15">
        <v>1</v>
      </c>
      <c r="C15" t="s">
        <v>107</v>
      </c>
      <c r="D15" t="s">
        <v>108</v>
      </c>
      <c r="E15" t="s">
        <v>95</v>
      </c>
      <c r="F15" t="s">
        <v>107</v>
      </c>
      <c r="G15" t="s">
        <v>109</v>
      </c>
      <c r="H15" t="s">
        <v>97</v>
      </c>
      <c r="I15" t="s">
        <v>110</v>
      </c>
      <c r="J15" t="s">
        <v>19</v>
      </c>
      <c r="K15" s="2">
        <v>4.0000000000000001E-3</v>
      </c>
      <c r="L15" s="3">
        <f t="shared" si="0"/>
        <v>4.0000000000000001E-3</v>
      </c>
      <c r="M15" s="4" t="s">
        <v>111</v>
      </c>
    </row>
    <row r="16" spans="1:13" ht="15.5" x14ac:dyDescent="0.35">
      <c r="A16" t="s">
        <v>112</v>
      </c>
      <c r="B16">
        <v>8</v>
      </c>
      <c r="C16" t="s">
        <v>113</v>
      </c>
      <c r="D16" t="s">
        <v>114</v>
      </c>
      <c r="E16" t="s">
        <v>95</v>
      </c>
      <c r="F16" t="s">
        <v>113</v>
      </c>
      <c r="G16" t="s">
        <v>115</v>
      </c>
      <c r="H16" t="s">
        <v>97</v>
      </c>
      <c r="I16" t="s">
        <v>116</v>
      </c>
      <c r="J16" t="s">
        <v>19</v>
      </c>
      <c r="K16" s="2">
        <v>3.5999999999999999E-3</v>
      </c>
      <c r="L16" s="3">
        <f t="shared" si="0"/>
        <v>2.8799999999999999E-2</v>
      </c>
      <c r="M16" s="4" t="s">
        <v>117</v>
      </c>
    </row>
    <row r="17" spans="1:13" ht="31" x14ac:dyDescent="0.35">
      <c r="A17" t="s">
        <v>118</v>
      </c>
      <c r="B17">
        <v>1</v>
      </c>
      <c r="C17" t="s">
        <v>119</v>
      </c>
      <c r="D17" t="s">
        <v>120</v>
      </c>
      <c r="E17" t="s">
        <v>121</v>
      </c>
      <c r="G17" t="s">
        <v>119</v>
      </c>
      <c r="H17" t="s">
        <v>122</v>
      </c>
      <c r="I17" t="s">
        <v>123</v>
      </c>
      <c r="J17" t="s">
        <v>19</v>
      </c>
      <c r="K17" s="2">
        <v>1.9E-2</v>
      </c>
      <c r="L17" s="3">
        <f t="shared" si="0"/>
        <v>1.9E-2</v>
      </c>
      <c r="M17" s="4" t="s">
        <v>124</v>
      </c>
    </row>
    <row r="18" spans="1:13" ht="15.5" x14ac:dyDescent="0.35">
      <c r="A18" t="s">
        <v>125</v>
      </c>
      <c r="B18">
        <v>1</v>
      </c>
      <c r="C18" t="s">
        <v>126</v>
      </c>
      <c r="D18" t="s">
        <v>127</v>
      </c>
      <c r="E18" t="s">
        <v>128</v>
      </c>
      <c r="G18" t="s">
        <v>126</v>
      </c>
      <c r="H18" t="s">
        <v>129</v>
      </c>
      <c r="I18" t="s">
        <v>130</v>
      </c>
      <c r="J18" t="s">
        <v>19</v>
      </c>
      <c r="K18" s="2">
        <v>9.3249999999999993</v>
      </c>
      <c r="L18" s="3">
        <f t="shared" si="0"/>
        <v>9.3249999999999993</v>
      </c>
      <c r="M18" s="4" t="s">
        <v>131</v>
      </c>
    </row>
    <row r="19" spans="1:13" ht="31" x14ac:dyDescent="0.35">
      <c r="A19" t="s">
        <v>132</v>
      </c>
      <c r="B19">
        <v>2</v>
      </c>
      <c r="C19" t="s">
        <v>133</v>
      </c>
      <c r="D19" t="s">
        <v>134</v>
      </c>
      <c r="E19" t="s">
        <v>135</v>
      </c>
      <c r="G19" t="s">
        <v>133</v>
      </c>
      <c r="H19" t="s">
        <v>136</v>
      </c>
      <c r="I19" t="s">
        <v>137</v>
      </c>
      <c r="J19" t="s">
        <v>19</v>
      </c>
      <c r="K19" s="2">
        <v>0.29499999999999998</v>
      </c>
      <c r="L19" s="3">
        <f t="shared" si="0"/>
        <v>0.59</v>
      </c>
      <c r="M19" s="4" t="s">
        <v>138</v>
      </c>
    </row>
    <row r="20" spans="1:13" ht="31" x14ac:dyDescent="0.35">
      <c r="A20" t="s">
        <v>139</v>
      </c>
      <c r="B20">
        <v>1</v>
      </c>
      <c r="C20" t="s">
        <v>140</v>
      </c>
      <c r="D20" t="s">
        <v>141</v>
      </c>
      <c r="E20" t="s">
        <v>142</v>
      </c>
      <c r="G20" t="s">
        <v>140</v>
      </c>
      <c r="H20" t="s">
        <v>143</v>
      </c>
      <c r="I20" t="s">
        <v>144</v>
      </c>
      <c r="J20" t="s">
        <v>19</v>
      </c>
      <c r="K20" s="2">
        <v>3.2629999999999999</v>
      </c>
      <c r="L20" s="3">
        <f t="shared" si="0"/>
        <v>3.2629999999999999</v>
      </c>
      <c r="M20" s="4" t="s">
        <v>145</v>
      </c>
    </row>
    <row r="21" spans="1:13" x14ac:dyDescent="0.35">
      <c r="M21" s="5"/>
    </row>
    <row r="22" spans="1:13" ht="31" x14ac:dyDescent="0.35">
      <c r="A22" t="s">
        <v>146</v>
      </c>
      <c r="B22">
        <v>8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 t="s">
        <v>152</v>
      </c>
      <c r="I22" t="s">
        <v>151</v>
      </c>
      <c r="J22" t="s">
        <v>153</v>
      </c>
      <c r="K22" s="3">
        <v>0.89</v>
      </c>
      <c r="L22" s="3">
        <f>B22*K22</f>
        <v>7.12</v>
      </c>
      <c r="M22" s="4" t="s">
        <v>154</v>
      </c>
    </row>
    <row r="24" spans="1:13" x14ac:dyDescent="0.35">
      <c r="A24" s="6"/>
      <c r="B24" s="6"/>
      <c r="C24" s="6" t="s">
        <v>155</v>
      </c>
      <c r="D24" s="6"/>
      <c r="E24" s="6"/>
      <c r="F24" s="6"/>
      <c r="G24" s="6"/>
      <c r="H24" s="6"/>
      <c r="I24" s="6"/>
      <c r="J24" s="6"/>
      <c r="K24" s="6"/>
      <c r="L24" s="7">
        <f>SUM(L2:L22)</f>
        <v>37.561399999999992</v>
      </c>
      <c r="M24" s="6"/>
    </row>
  </sheetData>
  <autoFilter ref="A1:M22" xr:uid="{00000000-0009-0000-0000-000000000000}"/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</hyperlinks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Pranet G</cp:lastModifiedBy>
  <dcterms:created xsi:type="dcterms:W3CDTF">2026-10-04T01:26:16Z</dcterms:created>
  <dcterms:modified xsi:type="dcterms:W3CDTF">2026-10-04T01:50:47Z</dcterms:modified>
</cp:coreProperties>
</file>